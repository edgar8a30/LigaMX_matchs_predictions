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b0ad58cb247674/Documentos/GitHub/PremierLeaguePredictions/LigaMX_matchs_predictions/Tunning_reports/"/>
    </mc:Choice>
  </mc:AlternateContent>
  <xr:revisionPtr revIDLastSave="63" documentId="8_{EACD33AE-7385-42DA-B836-22406E709473}" xr6:coauthVersionLast="47" xr6:coauthVersionMax="47" xr10:uidLastSave="{68946CAA-DEA3-4D68-B6EA-959B259134A2}"/>
  <bookViews>
    <workbookView xWindow="-108" yWindow="-108" windowWidth="23256" windowHeight="12456" xr2:uid="{9EFF6525-0C29-46B4-B2AD-4333E2E15531}"/>
  </bookViews>
  <sheets>
    <sheet name="Jornad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J10" i="1"/>
  <c r="J3" i="1"/>
  <c r="J11" i="1" s="1"/>
  <c r="J4" i="1"/>
  <c r="J5" i="1"/>
  <c r="J6" i="1"/>
  <c r="J7" i="1"/>
  <c r="J8" i="1"/>
  <c r="J9" i="1"/>
</calcChain>
</file>

<file path=xl/sharedStrings.xml><?xml version="1.0" encoding="utf-8"?>
<sst xmlns="http://schemas.openxmlformats.org/spreadsheetml/2006/main" count="26" uniqueCount="26">
  <si>
    <t>Prediccion</t>
  </si>
  <si>
    <t>Equipo</t>
  </si>
  <si>
    <t>Oponente</t>
  </si>
  <si>
    <t>Atlético San Luis</t>
  </si>
  <si>
    <t>Tigres UANL</t>
  </si>
  <si>
    <t>Tijuana</t>
  </si>
  <si>
    <t>Toluca</t>
  </si>
  <si>
    <t>Querétaro</t>
  </si>
  <si>
    <t>América</t>
  </si>
  <si>
    <t>Mazatlán</t>
  </si>
  <si>
    <t>FC Juárez</t>
  </si>
  <si>
    <t>Pumas UNAM</t>
  </si>
  <si>
    <t>Necaxa</t>
  </si>
  <si>
    <t>Monterrey</t>
  </si>
  <si>
    <t>Puebla</t>
  </si>
  <si>
    <t>Guadalajara</t>
  </si>
  <si>
    <t>Santos Laguna</t>
  </si>
  <si>
    <t>Cruz Azul</t>
  </si>
  <si>
    <t>Atlas</t>
  </si>
  <si>
    <t>P. Perder/Empatar</t>
  </si>
  <si>
    <t>P. de Ganar</t>
  </si>
  <si>
    <t xml:space="preserve">      Apuesta  </t>
  </si>
  <si>
    <t>Resuladado</t>
  </si>
  <si>
    <t>Ganancia potencial</t>
  </si>
  <si>
    <t>Ganancia Real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</si>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</sst>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44" fontId="0" fillId="0" borderId="0" xfId="0" applyNumberFormat="1"/>
    <xf numFmtId="9" fontId="0" fillId="0" borderId="0" xfId="2" applyFont="1"/>
    <xf numFmtId="2" fontId="0" fillId="0" borderId="0" xfId="0" applyNumberFormat="1"/>
    <xf numFmtId="0" fontId="2" fillId="0" borderId="0" xfId="0" applyFont="1"/>
  </cellXfs>
  <cellStyles count="3">
    <cellStyle name="Moneda" xfId="1" builtinId="4"/>
    <cellStyle name="Normal" xfId="0" builtinId="0"/>
    <cellStyle name="Porcentaje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19DE-5123-4B8A-9856-DDEC4DB6C8B4}">
  <dimension ref="A1:M14"/>
  <sheetViews>
    <sheetView tabSelected="1" workbookViewId="0">
      <selection activeCell="J14" sqref="J14"/>
    </sheetView>
  </sheetViews>
  <sheetFormatPr baseColWidth="10" defaultRowHeight="14.4" x14ac:dyDescent="0.3"/>
  <cols>
    <col min="2" max="2" width="15.88671875" bestFit="1" customWidth="1"/>
    <col min="6" max="6" width="12.5546875" bestFit="1" customWidth="1"/>
    <col min="7" max="7" width="11.5546875" style="1"/>
    <col min="13" max="13" width="11.5546875" style="4"/>
  </cols>
  <sheetData>
    <row r="1" spans="1:13" x14ac:dyDescent="0.3">
      <c r="B1" t="s">
        <v>19</v>
      </c>
      <c r="C1" t="s">
        <v>20</v>
      </c>
    </row>
    <row r="2" spans="1:13" x14ac:dyDescent="0.3">
      <c r="B2">
        <v>0</v>
      </c>
      <c r="C2">
        <v>1</v>
      </c>
      <c r="D2" t="s">
        <v>0</v>
      </c>
      <c r="E2" t="s">
        <v>1</v>
      </c>
      <c r="F2" t="s">
        <v>2</v>
      </c>
      <c r="G2" s="1" t="s">
        <v>21</v>
      </c>
      <c r="H2" t="s">
        <v>22</v>
      </c>
      <c r="I2" t="s">
        <v>23</v>
      </c>
      <c r="J2" t="s">
        <v>24</v>
      </c>
      <c r="L2" t="s">
        <v>25</v>
      </c>
      <c r="M2" s="3">
        <v>0.4</v>
      </c>
    </row>
    <row r="3" spans="1:13" x14ac:dyDescent="0.3">
      <c r="A3">
        <v>0</v>
      </c>
      <c r="B3">
        <v>0.40960099999999999</v>
      </c>
      <c r="C3">
        <v>0.59039900000000001</v>
      </c>
      <c r="D3">
        <v>1</v>
      </c>
      <c r="E3" t="s">
        <v>3</v>
      </c>
      <c r="F3" t="s">
        <v>4</v>
      </c>
      <c r="G3" s="1">
        <v>97.516535000000005</v>
      </c>
      <c r="I3">
        <v>0</v>
      </c>
      <c r="J3" s="2">
        <f t="shared" ref="J3:J10" si="0">+I3-G3</f>
        <v>-97.516535000000005</v>
      </c>
    </row>
    <row r="4" spans="1:13" x14ac:dyDescent="0.3">
      <c r="A4">
        <v>1</v>
      </c>
      <c r="B4">
        <v>0.86193200000000003</v>
      </c>
      <c r="C4">
        <v>0.138068</v>
      </c>
      <c r="D4">
        <v>0</v>
      </c>
      <c r="E4" t="s">
        <v>5</v>
      </c>
      <c r="F4" t="s">
        <v>6</v>
      </c>
      <c r="G4" s="1">
        <v>0</v>
      </c>
      <c r="J4" s="2">
        <f t="shared" si="0"/>
        <v>0</v>
      </c>
    </row>
    <row r="5" spans="1:13" x14ac:dyDescent="0.3">
      <c r="A5">
        <v>2</v>
      </c>
      <c r="B5">
        <v>0.92622199999999999</v>
      </c>
      <c r="C5">
        <v>7.3777999999999996E-2</v>
      </c>
      <c r="D5">
        <v>0</v>
      </c>
      <c r="E5" t="s">
        <v>7</v>
      </c>
      <c r="F5" t="s">
        <v>8</v>
      </c>
      <c r="G5" s="1">
        <v>0</v>
      </c>
      <c r="J5" s="2">
        <f t="shared" si="0"/>
        <v>0</v>
      </c>
    </row>
    <row r="6" spans="1:13" x14ac:dyDescent="0.3">
      <c r="A6">
        <v>3</v>
      </c>
      <c r="B6">
        <v>0.42827999999999999</v>
      </c>
      <c r="C6">
        <v>0.57172000000000001</v>
      </c>
      <c r="D6">
        <v>1</v>
      </c>
      <c r="E6" t="s">
        <v>9</v>
      </c>
      <c r="F6" t="s">
        <v>10</v>
      </c>
      <c r="G6" s="1">
        <v>94.431235000000001</v>
      </c>
      <c r="I6">
        <v>0</v>
      </c>
      <c r="J6" s="2">
        <f t="shared" si="0"/>
        <v>-94.431235000000001</v>
      </c>
    </row>
    <row r="7" spans="1:13" x14ac:dyDescent="0.3">
      <c r="A7">
        <v>4</v>
      </c>
      <c r="B7">
        <v>0.473547</v>
      </c>
      <c r="C7">
        <v>0.52645299999999995</v>
      </c>
      <c r="D7">
        <v>1</v>
      </c>
      <c r="E7" t="s">
        <v>11</v>
      </c>
      <c r="F7" t="s">
        <v>12</v>
      </c>
      <c r="G7" s="1">
        <v>86.954594</v>
      </c>
      <c r="I7">
        <v>135.15</v>
      </c>
      <c r="J7" s="2">
        <f t="shared" si="0"/>
        <v>48.195406000000006</v>
      </c>
    </row>
    <row r="8" spans="1:13" x14ac:dyDescent="0.3">
      <c r="A8">
        <v>5</v>
      </c>
      <c r="B8">
        <v>0.246118</v>
      </c>
      <c r="C8">
        <v>0.75388200000000005</v>
      </c>
      <c r="D8">
        <v>1</v>
      </c>
      <c r="E8" t="s">
        <v>13</v>
      </c>
      <c r="F8" t="s">
        <v>14</v>
      </c>
      <c r="G8" s="1">
        <v>124.519093</v>
      </c>
      <c r="I8">
        <v>0</v>
      </c>
      <c r="J8" s="2">
        <f t="shared" si="0"/>
        <v>-124.519093</v>
      </c>
    </row>
    <row r="9" spans="1:13" x14ac:dyDescent="0.3">
      <c r="A9">
        <v>6</v>
      </c>
      <c r="B9">
        <v>0.41527999999999998</v>
      </c>
      <c r="C9">
        <v>0.58472000000000002</v>
      </c>
      <c r="D9">
        <v>1</v>
      </c>
      <c r="E9" t="s">
        <v>15</v>
      </c>
      <c r="F9" t="s">
        <v>16</v>
      </c>
      <c r="G9" s="1">
        <v>96.578542999999996</v>
      </c>
      <c r="I9">
        <v>130.91</v>
      </c>
      <c r="J9" s="2">
        <f>+I9-G9</f>
        <v>34.331457</v>
      </c>
    </row>
    <row r="10" spans="1:13" x14ac:dyDescent="0.3">
      <c r="A10">
        <v>7</v>
      </c>
      <c r="B10">
        <v>0.53466000000000002</v>
      </c>
      <c r="C10">
        <v>0.46533999999999998</v>
      </c>
      <c r="D10">
        <v>0</v>
      </c>
      <c r="E10" t="s">
        <v>17</v>
      </c>
      <c r="F10" t="s">
        <v>18</v>
      </c>
      <c r="G10" s="1">
        <v>0</v>
      </c>
      <c r="J10" s="2">
        <f t="shared" si="0"/>
        <v>0</v>
      </c>
    </row>
    <row r="11" spans="1:13" x14ac:dyDescent="0.3">
      <c r="G11" s="1">
        <f>+SUM(G3:G10)</f>
        <v>500</v>
      </c>
      <c r="J11" s="1">
        <f>+SUM(J3:J10)</f>
        <v>-233.94</v>
      </c>
    </row>
    <row r="14" spans="1:13" x14ac:dyDescent="0.3">
      <c r="J14" s="5"/>
    </row>
  </sheetData>
  <conditionalFormatting sqref="J3:J10">
    <cfRule type="cellIs" dxfId="1" priority="2" operator="lessThan">
      <formula>0</formula>
    </cfRule>
  </conditionalFormatting>
  <conditionalFormatting sqref="J1 J3:J10 J12:J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Jornada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ochoa663</dc:creator>
  <cp:lastModifiedBy>edgar ochoa663</cp:lastModifiedBy>
  <dcterms:created xsi:type="dcterms:W3CDTF">2025-01-13T19:01:15Z</dcterms:created>
  <dcterms:modified xsi:type="dcterms:W3CDTF">2025-01-13T20:25:14Z</dcterms:modified>
</cp:coreProperties>
</file>